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My projects\OFX Mutant Project\Final Manuscript\Plos biology\Raw data\Main figure\"/>
    </mc:Choice>
  </mc:AlternateContent>
  <xr:revisionPtr revIDLastSave="0" documentId="13_ncr:1_{3E9BCC88-D590-41DD-98D0-8D7672A82E9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0" i="1" l="1"/>
  <c r="Q50" i="1"/>
  <c r="P50" i="1"/>
  <c r="O50" i="1"/>
  <c r="N50" i="1"/>
  <c r="L50" i="1"/>
  <c r="R49" i="1"/>
  <c r="Q49" i="1"/>
  <c r="P49" i="1"/>
  <c r="O49" i="1"/>
  <c r="N49" i="1"/>
  <c r="L49" i="1"/>
  <c r="R48" i="1"/>
  <c r="Q48" i="1"/>
  <c r="P48" i="1"/>
  <c r="O48" i="1"/>
  <c r="N48" i="1"/>
  <c r="L48" i="1"/>
  <c r="R47" i="1"/>
  <c r="Q47" i="1"/>
  <c r="P47" i="1"/>
  <c r="O47" i="1"/>
  <c r="N47" i="1"/>
  <c r="L47" i="1"/>
  <c r="R46" i="1"/>
  <c r="Q46" i="1"/>
  <c r="P46" i="1"/>
  <c r="O46" i="1"/>
  <c r="N46" i="1"/>
  <c r="L46" i="1"/>
  <c r="R45" i="1"/>
  <c r="Q45" i="1"/>
  <c r="P45" i="1"/>
  <c r="O45" i="1"/>
  <c r="N45" i="1"/>
  <c r="L45" i="1"/>
  <c r="R44" i="1"/>
  <c r="Q44" i="1"/>
  <c r="P44" i="1"/>
  <c r="O44" i="1"/>
  <c r="N44" i="1"/>
  <c r="L44" i="1"/>
  <c r="R43" i="1"/>
  <c r="Q43" i="1"/>
  <c r="P43" i="1"/>
  <c r="O43" i="1"/>
  <c r="N43" i="1"/>
  <c r="L43" i="1"/>
  <c r="R42" i="1"/>
  <c r="Q42" i="1"/>
  <c r="P42" i="1"/>
  <c r="O42" i="1"/>
  <c r="N42" i="1"/>
  <c r="M42" i="1"/>
  <c r="L42" i="1"/>
  <c r="K42" i="1"/>
  <c r="R41" i="1"/>
  <c r="Q41" i="1"/>
  <c r="P41" i="1"/>
  <c r="O41" i="1"/>
  <c r="N41" i="1"/>
  <c r="L41" i="1"/>
  <c r="R40" i="1"/>
  <c r="Q40" i="1"/>
  <c r="P40" i="1"/>
  <c r="O40" i="1"/>
  <c r="N40" i="1"/>
  <c r="L40" i="1"/>
  <c r="R39" i="1"/>
  <c r="Q39" i="1"/>
  <c r="P39" i="1"/>
  <c r="O39" i="1"/>
  <c r="N39" i="1"/>
  <c r="L39" i="1"/>
  <c r="R38" i="1"/>
  <c r="Q38" i="1"/>
  <c r="P38" i="1"/>
  <c r="O38" i="1"/>
  <c r="N38" i="1"/>
  <c r="L38" i="1"/>
  <c r="R37" i="1"/>
  <c r="Q37" i="1"/>
  <c r="P37" i="1"/>
  <c r="O37" i="1"/>
  <c r="N37" i="1"/>
  <c r="L37" i="1"/>
  <c r="K37" i="1"/>
  <c r="R36" i="1"/>
  <c r="Q36" i="1"/>
  <c r="P36" i="1"/>
  <c r="O36" i="1"/>
  <c r="N36" i="1"/>
  <c r="L36" i="1"/>
  <c r="R35" i="1"/>
  <c r="Q35" i="1"/>
  <c r="P35" i="1"/>
  <c r="O35" i="1"/>
  <c r="N35" i="1"/>
  <c r="L35" i="1"/>
  <c r="R34" i="1"/>
  <c r="Q34" i="1"/>
  <c r="P34" i="1"/>
  <c r="O34" i="1"/>
  <c r="N34" i="1"/>
  <c r="L34" i="1"/>
  <c r="R33" i="1"/>
  <c r="Q33" i="1"/>
  <c r="P33" i="1"/>
  <c r="O33" i="1"/>
  <c r="N33" i="1"/>
  <c r="L33" i="1"/>
  <c r="K33" i="1"/>
  <c r="R32" i="1"/>
  <c r="Q32" i="1"/>
  <c r="P32" i="1"/>
  <c r="O32" i="1"/>
  <c r="N32" i="1"/>
  <c r="M32" i="1"/>
  <c r="L32" i="1"/>
  <c r="K32" i="1"/>
  <c r="R31" i="1"/>
  <c r="Q31" i="1"/>
  <c r="P31" i="1"/>
  <c r="O31" i="1"/>
  <c r="N31" i="1"/>
  <c r="M31" i="1"/>
  <c r="L31" i="1"/>
  <c r="K31" i="1"/>
  <c r="R30" i="1"/>
  <c r="Q30" i="1"/>
  <c r="P30" i="1"/>
  <c r="O30" i="1"/>
  <c r="N30" i="1"/>
  <c r="M30" i="1"/>
  <c r="L30" i="1"/>
  <c r="K30" i="1"/>
  <c r="C30" i="1"/>
  <c r="D30" i="1"/>
  <c r="E30" i="1"/>
  <c r="H30" i="1"/>
  <c r="I30" i="1"/>
  <c r="C31" i="1"/>
  <c r="D31" i="1"/>
  <c r="E31" i="1"/>
  <c r="F31" i="1"/>
  <c r="H31" i="1"/>
  <c r="I31" i="1"/>
  <c r="C32" i="1"/>
  <c r="D32" i="1"/>
  <c r="E32" i="1"/>
  <c r="H32" i="1"/>
  <c r="I32" i="1"/>
  <c r="B33" i="1"/>
  <c r="C33" i="1"/>
  <c r="D33" i="1"/>
  <c r="E33" i="1"/>
  <c r="H33" i="1"/>
  <c r="I33" i="1"/>
  <c r="C34" i="1"/>
  <c r="D34" i="1"/>
  <c r="E34" i="1"/>
  <c r="F34" i="1"/>
  <c r="G34" i="1"/>
  <c r="H34" i="1"/>
  <c r="I34" i="1"/>
  <c r="C35" i="1"/>
  <c r="D35" i="1"/>
  <c r="E35" i="1"/>
  <c r="H35" i="1"/>
  <c r="I35" i="1"/>
  <c r="C36" i="1"/>
  <c r="D36" i="1"/>
  <c r="E36" i="1"/>
  <c r="H36" i="1"/>
  <c r="I36" i="1"/>
  <c r="C37" i="1"/>
  <c r="D37" i="1"/>
  <c r="E37" i="1"/>
  <c r="H37" i="1"/>
  <c r="I37" i="1"/>
  <c r="C38" i="1"/>
  <c r="D38" i="1"/>
  <c r="E38" i="1"/>
  <c r="H38" i="1"/>
  <c r="I38" i="1"/>
  <c r="C39" i="1"/>
  <c r="D39" i="1"/>
  <c r="E39" i="1"/>
  <c r="F39" i="1"/>
  <c r="H39" i="1"/>
  <c r="I39" i="1"/>
  <c r="C40" i="1"/>
  <c r="D40" i="1"/>
  <c r="E40" i="1"/>
  <c r="H40" i="1"/>
  <c r="I40" i="1"/>
  <c r="C41" i="1"/>
  <c r="D41" i="1"/>
  <c r="E41" i="1"/>
  <c r="F41" i="1"/>
  <c r="H41" i="1"/>
  <c r="I41" i="1"/>
  <c r="C42" i="1"/>
  <c r="D42" i="1"/>
  <c r="E42" i="1"/>
  <c r="H42" i="1"/>
  <c r="I42" i="1"/>
  <c r="C43" i="1"/>
  <c r="D43" i="1"/>
  <c r="E43" i="1"/>
  <c r="H43" i="1"/>
  <c r="I43" i="1"/>
  <c r="C44" i="1"/>
  <c r="D44" i="1"/>
  <c r="E44" i="1"/>
  <c r="F44" i="1"/>
  <c r="G44" i="1"/>
  <c r="H44" i="1"/>
  <c r="I44" i="1"/>
  <c r="C45" i="1"/>
  <c r="D45" i="1"/>
  <c r="E45" i="1"/>
  <c r="H45" i="1"/>
  <c r="I45" i="1"/>
  <c r="C46" i="1"/>
  <c r="D46" i="1"/>
  <c r="E46" i="1"/>
  <c r="H46" i="1"/>
  <c r="I46" i="1"/>
  <c r="B47" i="1"/>
  <c r="C47" i="1"/>
  <c r="D47" i="1"/>
  <c r="E47" i="1"/>
  <c r="H47" i="1"/>
  <c r="I47" i="1"/>
  <c r="C48" i="1"/>
  <c r="D48" i="1"/>
  <c r="E48" i="1"/>
  <c r="H48" i="1"/>
  <c r="I48" i="1"/>
  <c r="B49" i="1"/>
  <c r="C49" i="1"/>
  <c r="D49" i="1"/>
  <c r="E49" i="1"/>
  <c r="F49" i="1"/>
  <c r="H49" i="1"/>
  <c r="I49" i="1"/>
  <c r="C50" i="1"/>
  <c r="D50" i="1"/>
  <c r="E50" i="1"/>
  <c r="H50" i="1"/>
  <c r="I50" i="1"/>
  <c r="M24" i="1"/>
  <c r="M50" i="1" s="1"/>
  <c r="K24" i="1"/>
  <c r="K50" i="1" s="1"/>
  <c r="G24" i="1"/>
  <c r="G50" i="1" s="1"/>
  <c r="F24" i="1"/>
  <c r="F50" i="1" s="1"/>
  <c r="B24" i="1"/>
  <c r="B50" i="1" s="1"/>
  <c r="M23" i="1"/>
  <c r="M49" i="1" s="1"/>
  <c r="K23" i="1"/>
  <c r="K49" i="1" s="1"/>
  <c r="G23" i="1"/>
  <c r="G49" i="1" s="1"/>
  <c r="F23" i="1"/>
  <c r="B23" i="1"/>
  <c r="M22" i="1"/>
  <c r="M48" i="1" s="1"/>
  <c r="K22" i="1"/>
  <c r="K48" i="1" s="1"/>
  <c r="G22" i="1"/>
  <c r="G48" i="1" s="1"/>
  <c r="F22" i="1"/>
  <c r="F48" i="1" s="1"/>
  <c r="B22" i="1"/>
  <c r="B48" i="1" s="1"/>
  <c r="M21" i="1"/>
  <c r="M47" i="1" s="1"/>
  <c r="K21" i="1"/>
  <c r="K47" i="1" s="1"/>
  <c r="G21" i="1"/>
  <c r="G47" i="1" s="1"/>
  <c r="F21" i="1"/>
  <c r="F47" i="1" s="1"/>
  <c r="B21" i="1"/>
  <c r="M20" i="1"/>
  <c r="M46" i="1" s="1"/>
  <c r="K20" i="1"/>
  <c r="K46" i="1" s="1"/>
  <c r="G20" i="1"/>
  <c r="G46" i="1" s="1"/>
  <c r="F20" i="1"/>
  <c r="F46" i="1" s="1"/>
  <c r="B20" i="1"/>
  <c r="B46" i="1" s="1"/>
  <c r="M19" i="1"/>
  <c r="M45" i="1" s="1"/>
  <c r="K19" i="1"/>
  <c r="K45" i="1" s="1"/>
  <c r="G19" i="1"/>
  <c r="G45" i="1" s="1"/>
  <c r="F19" i="1"/>
  <c r="F45" i="1" s="1"/>
  <c r="B19" i="1"/>
  <c r="B45" i="1" s="1"/>
  <c r="M18" i="1"/>
  <c r="M44" i="1" s="1"/>
  <c r="K18" i="1"/>
  <c r="K44" i="1" s="1"/>
  <c r="G18" i="1"/>
  <c r="F18" i="1"/>
  <c r="B18" i="1"/>
  <c r="B44" i="1" s="1"/>
  <c r="M17" i="1"/>
  <c r="M43" i="1" s="1"/>
  <c r="K17" i="1"/>
  <c r="K43" i="1" s="1"/>
  <c r="G17" i="1"/>
  <c r="G43" i="1" s="1"/>
  <c r="F17" i="1"/>
  <c r="F43" i="1" s="1"/>
  <c r="B17" i="1"/>
  <c r="B43" i="1" s="1"/>
  <c r="M16" i="1"/>
  <c r="K16" i="1"/>
  <c r="G16" i="1"/>
  <c r="G42" i="1" s="1"/>
  <c r="F16" i="1"/>
  <c r="F42" i="1" s="1"/>
  <c r="B16" i="1"/>
  <c r="B42" i="1" s="1"/>
  <c r="M15" i="1"/>
  <c r="M41" i="1" s="1"/>
  <c r="K15" i="1"/>
  <c r="K41" i="1" s="1"/>
  <c r="G15" i="1"/>
  <c r="G41" i="1" s="1"/>
  <c r="F15" i="1"/>
  <c r="B15" i="1"/>
  <c r="B41" i="1" s="1"/>
  <c r="M14" i="1"/>
  <c r="M40" i="1" s="1"/>
  <c r="K14" i="1"/>
  <c r="K40" i="1" s="1"/>
  <c r="G14" i="1"/>
  <c r="G40" i="1" s="1"/>
  <c r="F14" i="1"/>
  <c r="F40" i="1" s="1"/>
  <c r="B14" i="1"/>
  <c r="B40" i="1" s="1"/>
  <c r="M13" i="1"/>
  <c r="M39" i="1" s="1"/>
  <c r="K13" i="1"/>
  <c r="K39" i="1" s="1"/>
  <c r="G13" i="1"/>
  <c r="G39" i="1" s="1"/>
  <c r="F13" i="1"/>
  <c r="B13" i="1"/>
  <c r="B39" i="1" s="1"/>
  <c r="M12" i="1"/>
  <c r="M38" i="1" s="1"/>
  <c r="K12" i="1"/>
  <c r="K38" i="1" s="1"/>
  <c r="G12" i="1"/>
  <c r="G38" i="1" s="1"/>
  <c r="F12" i="1"/>
  <c r="F38" i="1" s="1"/>
  <c r="B12" i="1"/>
  <c r="B38" i="1" s="1"/>
  <c r="M11" i="1"/>
  <c r="M37" i="1" s="1"/>
  <c r="K11" i="1"/>
  <c r="G11" i="1"/>
  <c r="G37" i="1" s="1"/>
  <c r="F11" i="1"/>
  <c r="F37" i="1" s="1"/>
  <c r="B11" i="1"/>
  <c r="B37" i="1" s="1"/>
  <c r="M10" i="1"/>
  <c r="M36" i="1" s="1"/>
  <c r="K10" i="1"/>
  <c r="K36" i="1" s="1"/>
  <c r="G10" i="1"/>
  <c r="G36" i="1" s="1"/>
  <c r="F10" i="1"/>
  <c r="F36" i="1" s="1"/>
  <c r="B10" i="1"/>
  <c r="B36" i="1" s="1"/>
  <c r="M9" i="1"/>
  <c r="M35" i="1" s="1"/>
  <c r="K9" i="1"/>
  <c r="K35" i="1" s="1"/>
  <c r="G9" i="1"/>
  <c r="G35" i="1" s="1"/>
  <c r="F9" i="1"/>
  <c r="F35" i="1" s="1"/>
  <c r="B9" i="1"/>
  <c r="B35" i="1" s="1"/>
  <c r="M8" i="1"/>
  <c r="M34" i="1" s="1"/>
  <c r="K8" i="1"/>
  <c r="K34" i="1" s="1"/>
  <c r="G8" i="1"/>
  <c r="F8" i="1"/>
  <c r="B8" i="1"/>
  <c r="B34" i="1" s="1"/>
  <c r="M7" i="1"/>
  <c r="M33" i="1" s="1"/>
  <c r="G7" i="1"/>
  <c r="G33" i="1" s="1"/>
  <c r="F7" i="1"/>
  <c r="F33" i="1" s="1"/>
  <c r="G6" i="1"/>
  <c r="G32" i="1" s="1"/>
  <c r="F6" i="1"/>
  <c r="F32" i="1" s="1"/>
  <c r="B6" i="1"/>
  <c r="B32" i="1" s="1"/>
  <c r="G5" i="1"/>
  <c r="G31" i="1" s="1"/>
  <c r="F5" i="1"/>
  <c r="B5" i="1"/>
  <c r="B31" i="1" s="1"/>
  <c r="G4" i="1"/>
  <c r="G30" i="1" s="1"/>
  <c r="F4" i="1"/>
  <c r="F30" i="1" s="1"/>
  <c r="B4" i="1"/>
  <c r="B30" i="1" s="1"/>
</calcChain>
</file>

<file path=xl/sharedStrings.xml><?xml version="1.0" encoding="utf-8"?>
<sst xmlns="http://schemas.openxmlformats.org/spreadsheetml/2006/main" count="71" uniqueCount="13">
  <si>
    <t>t=0</t>
  </si>
  <si>
    <t>t=7 h</t>
  </si>
  <si>
    <t>S1</t>
  </si>
  <si>
    <t>S2</t>
  </si>
  <si>
    <t>S3</t>
  </si>
  <si>
    <t>S4</t>
  </si>
  <si>
    <t>S5</t>
  </si>
  <si>
    <t>S6</t>
  </si>
  <si>
    <t>S7</t>
  </si>
  <si>
    <t>S8</t>
  </si>
  <si>
    <t>Time (day)</t>
  </si>
  <si>
    <t>CFU/ml</t>
  </si>
  <si>
    <t>Log Trnasformed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</si>
</sst>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1" fillId="7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workbookViewId="0">
      <selection activeCell="J23" sqref="J23"/>
    </sheetView>
  </sheetViews>
  <sheetFormatPr defaultRowHeight="14.25" x14ac:dyDescent="0.45"/>
  <cols>
    <col min="1" max="1" width="19.1328125" customWidth="1"/>
  </cols>
  <sheetData>
    <row r="1" spans="1:18" x14ac:dyDescent="0.45">
      <c r="B1" s="1" t="s">
        <v>0</v>
      </c>
      <c r="K1" s="2" t="s">
        <v>1</v>
      </c>
    </row>
    <row r="2" spans="1:18" x14ac:dyDescent="0.45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K2" s="4" t="s">
        <v>2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</row>
    <row r="3" spans="1:18" x14ac:dyDescent="0.45">
      <c r="A3" s="5" t="s">
        <v>10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K3" s="4" t="s">
        <v>11</v>
      </c>
      <c r="L3" s="4" t="s">
        <v>11</v>
      </c>
      <c r="M3" s="4" t="s">
        <v>11</v>
      </c>
      <c r="N3" s="4" t="s">
        <v>11</v>
      </c>
      <c r="O3" s="4" t="s">
        <v>11</v>
      </c>
      <c r="P3" s="4" t="s">
        <v>11</v>
      </c>
      <c r="Q3" s="4" t="s">
        <v>11</v>
      </c>
      <c r="R3" s="4" t="s">
        <v>11</v>
      </c>
    </row>
    <row r="4" spans="1:18" x14ac:dyDescent="0.45">
      <c r="A4" s="6">
        <v>2</v>
      </c>
      <c r="B4" s="7">
        <f>35*10^6</f>
        <v>35000000</v>
      </c>
      <c r="C4">
        <v>42000000</v>
      </c>
      <c r="D4" s="7">
        <v>64000000</v>
      </c>
      <c r="E4" s="7">
        <v>30000000</v>
      </c>
      <c r="F4" s="7">
        <f>48*10^6</f>
        <v>48000000</v>
      </c>
      <c r="G4" s="7">
        <f>44*10^6</f>
        <v>44000000</v>
      </c>
      <c r="H4" s="7">
        <v>41000000</v>
      </c>
      <c r="I4" s="7">
        <v>33000000</v>
      </c>
      <c r="K4" s="7">
        <v>230</v>
      </c>
      <c r="L4" s="7">
        <v>490</v>
      </c>
      <c r="M4" s="7">
        <v>210</v>
      </c>
      <c r="N4" s="7">
        <v>180</v>
      </c>
      <c r="O4" s="7">
        <v>220</v>
      </c>
      <c r="P4" s="7">
        <v>120</v>
      </c>
      <c r="Q4" s="7">
        <v>200</v>
      </c>
      <c r="R4" s="7">
        <v>170</v>
      </c>
    </row>
    <row r="5" spans="1:18" x14ac:dyDescent="0.45">
      <c r="A5" s="6">
        <v>3</v>
      </c>
      <c r="B5" s="7">
        <f>34*10^6</f>
        <v>34000000</v>
      </c>
      <c r="C5">
        <v>50000000</v>
      </c>
      <c r="D5" s="7">
        <v>41000000</v>
      </c>
      <c r="E5" s="7">
        <v>30000000</v>
      </c>
      <c r="F5" s="7">
        <f>30*10^6</f>
        <v>30000000</v>
      </c>
      <c r="G5" s="7">
        <f>21*10^6</f>
        <v>21000000</v>
      </c>
      <c r="H5" s="7">
        <v>31000000</v>
      </c>
      <c r="I5" s="7">
        <v>21000000</v>
      </c>
      <c r="K5" s="7">
        <v>30</v>
      </c>
      <c r="L5" s="7">
        <v>70</v>
      </c>
      <c r="M5" s="7">
        <v>140</v>
      </c>
      <c r="N5" s="7">
        <v>700</v>
      </c>
      <c r="O5" s="7">
        <v>40</v>
      </c>
      <c r="P5" s="7">
        <v>2500</v>
      </c>
      <c r="Q5" s="7">
        <v>650</v>
      </c>
      <c r="R5" s="7">
        <v>1400</v>
      </c>
    </row>
    <row r="6" spans="1:18" x14ac:dyDescent="0.45">
      <c r="A6" s="6">
        <v>4</v>
      </c>
      <c r="B6" s="7">
        <f>28*10^6</f>
        <v>28000000</v>
      </c>
      <c r="C6">
        <v>26000000</v>
      </c>
      <c r="D6" s="7">
        <v>26000000</v>
      </c>
      <c r="E6" s="7">
        <v>17000000</v>
      </c>
      <c r="F6" s="7">
        <f>15*10^6</f>
        <v>15000000</v>
      </c>
      <c r="G6" s="7">
        <f>29*10^6</f>
        <v>29000000</v>
      </c>
      <c r="H6" s="7">
        <v>25000000</v>
      </c>
      <c r="I6" s="7">
        <v>15000000</v>
      </c>
      <c r="K6" s="7">
        <v>20</v>
      </c>
      <c r="L6" s="7">
        <v>50</v>
      </c>
      <c r="M6" s="7">
        <v>40</v>
      </c>
      <c r="N6" s="7">
        <v>160</v>
      </c>
      <c r="O6" s="7">
        <v>800</v>
      </c>
      <c r="P6" s="7">
        <v>70000</v>
      </c>
      <c r="Q6" s="7">
        <v>1100</v>
      </c>
      <c r="R6" s="7">
        <v>2500</v>
      </c>
    </row>
    <row r="7" spans="1:18" x14ac:dyDescent="0.45">
      <c r="A7" s="6">
        <v>5</v>
      </c>
      <c r="B7" s="7">
        <v>32000000</v>
      </c>
      <c r="C7" s="7">
        <v>43000000</v>
      </c>
      <c r="D7" s="7">
        <v>18000000</v>
      </c>
      <c r="E7" s="7">
        <v>8000000</v>
      </c>
      <c r="F7" s="7">
        <f>23*10^6</f>
        <v>23000000</v>
      </c>
      <c r="G7" s="7">
        <f>35*10^6</f>
        <v>35000000</v>
      </c>
      <c r="H7" s="7">
        <v>44000000</v>
      </c>
      <c r="I7" s="7">
        <v>60000000</v>
      </c>
      <c r="K7" s="7">
        <v>220</v>
      </c>
      <c r="L7" s="7">
        <v>300</v>
      </c>
      <c r="M7" s="7">
        <f>10*10^2</f>
        <v>1000</v>
      </c>
      <c r="N7" s="7">
        <v>100</v>
      </c>
      <c r="O7" s="7">
        <v>320000</v>
      </c>
      <c r="P7" s="7">
        <v>160000</v>
      </c>
      <c r="Q7" s="7">
        <v>1500</v>
      </c>
      <c r="R7" s="7">
        <v>15000</v>
      </c>
    </row>
    <row r="8" spans="1:18" x14ac:dyDescent="0.45">
      <c r="A8" s="6">
        <v>6</v>
      </c>
      <c r="B8" s="7">
        <f>25*10^6</f>
        <v>25000000</v>
      </c>
      <c r="C8">
        <v>46000000</v>
      </c>
      <c r="D8" s="7">
        <v>31000000</v>
      </c>
      <c r="E8" s="7">
        <v>25000000</v>
      </c>
      <c r="F8" s="7">
        <f>37*10^6</f>
        <v>37000000</v>
      </c>
      <c r="G8" s="7">
        <f>94*10^6</f>
        <v>94000000</v>
      </c>
      <c r="H8" s="7">
        <v>41000000</v>
      </c>
      <c r="I8" s="7">
        <v>18000000</v>
      </c>
      <c r="K8" s="7">
        <f>33*10^2</f>
        <v>3300</v>
      </c>
      <c r="L8" s="7">
        <v>1200</v>
      </c>
      <c r="M8" s="7">
        <f>13*10^3</f>
        <v>13000</v>
      </c>
      <c r="N8" s="7">
        <v>43000</v>
      </c>
      <c r="O8" s="7">
        <v>200000</v>
      </c>
      <c r="P8" s="7">
        <v>270000</v>
      </c>
      <c r="Q8" s="7">
        <v>2400</v>
      </c>
      <c r="R8" s="7">
        <v>81000</v>
      </c>
    </row>
    <row r="9" spans="1:18" x14ac:dyDescent="0.45">
      <c r="A9" s="6">
        <v>7</v>
      </c>
      <c r="B9" s="7">
        <f>33*10^6</f>
        <v>33000000</v>
      </c>
      <c r="C9">
        <v>38000000</v>
      </c>
      <c r="D9" s="7">
        <v>33000000</v>
      </c>
      <c r="E9" s="7">
        <v>19000000</v>
      </c>
      <c r="F9" s="7">
        <f>24*10^6</f>
        <v>24000000</v>
      </c>
      <c r="G9" s="7">
        <f>44*10^6</f>
        <v>44000000</v>
      </c>
      <c r="H9" s="7">
        <v>22000000</v>
      </c>
      <c r="I9" s="7">
        <v>25000000</v>
      </c>
      <c r="K9" s="7">
        <f>9*10^3</f>
        <v>9000</v>
      </c>
      <c r="L9" s="7">
        <v>3700</v>
      </c>
      <c r="M9" s="7">
        <f>33*10^2</f>
        <v>3300</v>
      </c>
      <c r="N9" s="7">
        <v>51000</v>
      </c>
      <c r="O9" s="7">
        <v>440000</v>
      </c>
      <c r="P9" s="7">
        <v>320000</v>
      </c>
      <c r="Q9" s="7">
        <v>2000</v>
      </c>
      <c r="R9" s="7">
        <v>77000</v>
      </c>
    </row>
    <row r="10" spans="1:18" x14ac:dyDescent="0.45">
      <c r="A10" s="6">
        <v>8</v>
      </c>
      <c r="B10" s="7">
        <f>26*10^6</f>
        <v>26000000</v>
      </c>
      <c r="C10">
        <v>38000000</v>
      </c>
      <c r="D10" s="7">
        <v>42000000</v>
      </c>
      <c r="E10" s="7">
        <v>14000000</v>
      </c>
      <c r="F10" s="7">
        <f>22*10^6</f>
        <v>22000000</v>
      </c>
      <c r="G10" s="7">
        <f>32*10^6</f>
        <v>32000000</v>
      </c>
      <c r="H10" s="7">
        <v>25000000</v>
      </c>
      <c r="I10" s="7">
        <v>16000000</v>
      </c>
      <c r="K10" s="7">
        <f>39*10^2</f>
        <v>3900</v>
      </c>
      <c r="L10" s="7">
        <v>2200</v>
      </c>
      <c r="M10" s="7">
        <f>51*10^2</f>
        <v>5100</v>
      </c>
      <c r="N10" s="7">
        <v>29000</v>
      </c>
      <c r="O10" s="7">
        <v>130000</v>
      </c>
      <c r="P10" s="7">
        <v>250000</v>
      </c>
      <c r="Q10" s="7">
        <v>1900</v>
      </c>
      <c r="R10" s="7">
        <v>29000</v>
      </c>
    </row>
    <row r="11" spans="1:18" x14ac:dyDescent="0.45">
      <c r="A11" s="6">
        <v>9</v>
      </c>
      <c r="B11" s="7">
        <f>17*10^6</f>
        <v>17000000</v>
      </c>
      <c r="C11">
        <v>25000000</v>
      </c>
      <c r="D11" s="7">
        <v>43000000</v>
      </c>
      <c r="E11" s="7">
        <v>17000000</v>
      </c>
      <c r="F11" s="7">
        <f>33*10^6</f>
        <v>33000000</v>
      </c>
      <c r="G11" s="7">
        <f>16*10^6</f>
        <v>16000000</v>
      </c>
      <c r="H11" s="7">
        <v>20000000</v>
      </c>
      <c r="I11" s="7">
        <v>18000000</v>
      </c>
      <c r="K11" s="7">
        <f>65*10^2</f>
        <v>6500</v>
      </c>
      <c r="L11" s="7">
        <v>440</v>
      </c>
      <c r="M11" s="7">
        <f>16*10^4</f>
        <v>160000</v>
      </c>
      <c r="N11" s="7">
        <v>37000</v>
      </c>
      <c r="O11" s="7">
        <v>660000</v>
      </c>
      <c r="P11" s="7">
        <v>1200000</v>
      </c>
      <c r="Q11" s="7">
        <v>300</v>
      </c>
      <c r="R11" s="7">
        <v>28000</v>
      </c>
    </row>
    <row r="12" spans="1:18" x14ac:dyDescent="0.45">
      <c r="A12" s="6">
        <v>10</v>
      </c>
      <c r="B12" s="7">
        <f>35*10^6</f>
        <v>35000000</v>
      </c>
      <c r="C12">
        <v>22000000</v>
      </c>
      <c r="D12" s="7">
        <v>29000000</v>
      </c>
      <c r="E12" s="7">
        <v>13000000</v>
      </c>
      <c r="F12" s="7">
        <f>9*10^6</f>
        <v>9000000</v>
      </c>
      <c r="G12" s="7">
        <f>13*10^6</f>
        <v>13000000</v>
      </c>
      <c r="H12" s="7">
        <v>24000000</v>
      </c>
      <c r="I12" s="7">
        <v>9000000</v>
      </c>
      <c r="K12" s="7">
        <f>12*10^4</f>
        <v>120000</v>
      </c>
      <c r="L12" s="7">
        <v>500</v>
      </c>
      <c r="M12" s="7">
        <f>23*10^5</f>
        <v>2300000</v>
      </c>
      <c r="N12" s="7">
        <v>40000</v>
      </c>
      <c r="O12" s="7">
        <v>2600000</v>
      </c>
      <c r="P12" s="7">
        <v>1700000</v>
      </c>
      <c r="Q12" s="7">
        <v>350</v>
      </c>
      <c r="R12" s="7">
        <v>48000</v>
      </c>
    </row>
    <row r="13" spans="1:18" x14ac:dyDescent="0.45">
      <c r="A13" s="6">
        <v>11</v>
      </c>
      <c r="B13" s="7">
        <f>25*10^6</f>
        <v>25000000</v>
      </c>
      <c r="C13">
        <v>25000000</v>
      </c>
      <c r="D13" s="7">
        <v>23000000</v>
      </c>
      <c r="E13" s="7">
        <v>17000000</v>
      </c>
      <c r="F13" s="7">
        <f>7*10^6</f>
        <v>7000000</v>
      </c>
      <c r="G13" s="7">
        <f>29*10^6</f>
        <v>29000000</v>
      </c>
      <c r="H13" s="7">
        <v>32000000</v>
      </c>
      <c r="I13" s="7">
        <v>15000000</v>
      </c>
      <c r="K13" s="7">
        <f>48*10^5</f>
        <v>4800000</v>
      </c>
      <c r="L13" s="7">
        <v>200</v>
      </c>
      <c r="M13" s="7">
        <f>14*10^5</f>
        <v>1400000</v>
      </c>
      <c r="N13" s="7">
        <v>80000</v>
      </c>
      <c r="O13" s="7">
        <v>1900000</v>
      </c>
      <c r="P13" s="7">
        <v>2200000</v>
      </c>
      <c r="Q13" s="7">
        <v>600</v>
      </c>
      <c r="R13" s="7">
        <v>80000</v>
      </c>
    </row>
    <row r="14" spans="1:18" x14ac:dyDescent="0.45">
      <c r="A14" s="6">
        <v>12</v>
      </c>
      <c r="B14" s="7">
        <f>25*10^6</f>
        <v>25000000</v>
      </c>
      <c r="C14">
        <v>24000000</v>
      </c>
      <c r="D14" s="7">
        <v>20000000</v>
      </c>
      <c r="E14" s="7">
        <v>12000000</v>
      </c>
      <c r="F14" s="7">
        <f>12*10^6</f>
        <v>12000000</v>
      </c>
      <c r="G14" s="7">
        <f>35*10^6</f>
        <v>35000000</v>
      </c>
      <c r="H14" s="7">
        <v>22000000</v>
      </c>
      <c r="I14" s="7">
        <v>12000000</v>
      </c>
      <c r="K14" s="7">
        <f>86*10^5</f>
        <v>8600000</v>
      </c>
      <c r="L14" s="7">
        <v>190</v>
      </c>
      <c r="M14" s="7">
        <f>18*10^5</f>
        <v>1800000</v>
      </c>
      <c r="N14" s="7">
        <v>180000</v>
      </c>
      <c r="O14" s="7">
        <v>1500000</v>
      </c>
      <c r="P14" s="7">
        <v>2100000</v>
      </c>
      <c r="Q14" s="7">
        <v>2200</v>
      </c>
      <c r="R14" s="7">
        <v>100000</v>
      </c>
    </row>
    <row r="15" spans="1:18" x14ac:dyDescent="0.45">
      <c r="A15" s="6">
        <v>13</v>
      </c>
      <c r="B15" s="7">
        <f>6*10^6</f>
        <v>6000000</v>
      </c>
      <c r="C15">
        <v>27000000</v>
      </c>
      <c r="D15" s="7">
        <v>15000000</v>
      </c>
      <c r="E15" s="7">
        <v>15000000</v>
      </c>
      <c r="F15" s="7">
        <f>5*10^6</f>
        <v>5000000</v>
      </c>
      <c r="G15" s="7">
        <f>39*10^6</f>
        <v>39000000</v>
      </c>
      <c r="H15" s="7">
        <v>42000000</v>
      </c>
      <c r="I15" s="7">
        <v>11000000</v>
      </c>
      <c r="K15" s="7">
        <f>4*10^6</f>
        <v>4000000</v>
      </c>
      <c r="L15" s="7">
        <v>500</v>
      </c>
      <c r="M15" s="7">
        <f>16*10^5</f>
        <v>1600000</v>
      </c>
      <c r="N15" s="7">
        <v>180000</v>
      </c>
      <c r="O15" s="7">
        <v>1700000</v>
      </c>
      <c r="P15" s="7">
        <v>2900000</v>
      </c>
      <c r="Q15" s="7">
        <v>3200</v>
      </c>
      <c r="R15" s="7">
        <v>140000</v>
      </c>
    </row>
    <row r="16" spans="1:18" x14ac:dyDescent="0.45">
      <c r="A16" s="6">
        <v>14</v>
      </c>
      <c r="B16" s="7">
        <f>43*10^6</f>
        <v>43000000</v>
      </c>
      <c r="C16">
        <v>42000000</v>
      </c>
      <c r="D16" s="7">
        <v>34000000</v>
      </c>
      <c r="E16" s="7">
        <v>25000000</v>
      </c>
      <c r="F16" s="7">
        <f>25*10^6</f>
        <v>25000000</v>
      </c>
      <c r="G16" s="7">
        <f>35*10^6</f>
        <v>35000000</v>
      </c>
      <c r="H16" s="7">
        <v>48000000</v>
      </c>
      <c r="I16" s="7">
        <v>23000000</v>
      </c>
      <c r="K16" s="7">
        <f>5*10^6</f>
        <v>5000000</v>
      </c>
      <c r="L16" s="7">
        <v>1200</v>
      </c>
      <c r="M16" s="7">
        <f>22*10^5</f>
        <v>2200000</v>
      </c>
      <c r="N16" s="7">
        <v>400000</v>
      </c>
      <c r="O16" s="7">
        <v>2800000</v>
      </c>
      <c r="P16" s="7">
        <v>2900000</v>
      </c>
      <c r="Q16" s="7">
        <v>25000</v>
      </c>
      <c r="R16" s="7">
        <v>320000</v>
      </c>
    </row>
    <row r="17" spans="1:18" x14ac:dyDescent="0.45">
      <c r="A17" s="6">
        <v>15</v>
      </c>
      <c r="B17" s="7">
        <f>13*10^6</f>
        <v>13000000</v>
      </c>
      <c r="C17">
        <v>29000000</v>
      </c>
      <c r="D17" s="7">
        <v>31000000</v>
      </c>
      <c r="E17" s="7">
        <v>12000000</v>
      </c>
      <c r="F17" s="7">
        <f>35*10^5</f>
        <v>3500000</v>
      </c>
      <c r="G17" s="7">
        <f>9*10^6</f>
        <v>9000000</v>
      </c>
      <c r="H17" s="7">
        <v>25000000</v>
      </c>
      <c r="I17" s="7">
        <v>15000000</v>
      </c>
      <c r="K17" s="7">
        <f>7*10^6</f>
        <v>7000000</v>
      </c>
      <c r="L17" s="7">
        <v>260</v>
      </c>
      <c r="M17" s="7">
        <f>10*10^5</f>
        <v>1000000</v>
      </c>
      <c r="N17" s="7">
        <v>310000</v>
      </c>
      <c r="O17" s="7">
        <v>1700000</v>
      </c>
      <c r="P17" s="7">
        <v>3000000</v>
      </c>
      <c r="Q17" s="7">
        <v>10000</v>
      </c>
      <c r="R17" s="7">
        <v>220000</v>
      </c>
    </row>
    <row r="18" spans="1:18" x14ac:dyDescent="0.45">
      <c r="A18" s="6">
        <v>16</v>
      </c>
      <c r="B18" s="7">
        <f>15*10^6</f>
        <v>15000000</v>
      </c>
      <c r="C18">
        <v>36000000</v>
      </c>
      <c r="D18" s="7">
        <v>34000000</v>
      </c>
      <c r="E18" s="7">
        <v>13000000</v>
      </c>
      <c r="F18" s="7">
        <f>26*10^6</f>
        <v>26000000</v>
      </c>
      <c r="G18" s="7">
        <f>27*10^6</f>
        <v>27000000</v>
      </c>
      <c r="H18" s="7">
        <v>29000000</v>
      </c>
      <c r="I18" s="7">
        <v>15000000</v>
      </c>
      <c r="K18" s="7">
        <f>7*10^6</f>
        <v>7000000</v>
      </c>
      <c r="L18" s="7">
        <v>1100</v>
      </c>
      <c r="M18" s="7">
        <f>23*10^5</f>
        <v>2300000</v>
      </c>
      <c r="N18" s="7">
        <v>440000</v>
      </c>
      <c r="O18" s="7">
        <v>7200000</v>
      </c>
      <c r="P18" s="7">
        <v>3000000</v>
      </c>
      <c r="Q18" s="7">
        <v>64000</v>
      </c>
      <c r="R18" s="7">
        <v>480000</v>
      </c>
    </row>
    <row r="19" spans="1:18" x14ac:dyDescent="0.45">
      <c r="A19" s="6">
        <v>17</v>
      </c>
      <c r="B19" s="7">
        <f>14*10^6</f>
        <v>14000000</v>
      </c>
      <c r="C19">
        <v>23000000</v>
      </c>
      <c r="D19" s="7">
        <v>19000000</v>
      </c>
      <c r="E19" s="7">
        <v>6000000</v>
      </c>
      <c r="F19" s="7">
        <f>10*10^6</f>
        <v>10000000</v>
      </c>
      <c r="G19" s="7">
        <f>22*10^6</f>
        <v>22000000</v>
      </c>
      <c r="H19" s="7">
        <v>33000000</v>
      </c>
      <c r="I19" s="7">
        <v>14000000</v>
      </c>
      <c r="K19" s="7">
        <f>8*10^6</f>
        <v>8000000</v>
      </c>
      <c r="L19" s="7">
        <v>200</v>
      </c>
      <c r="M19" s="7">
        <f>43*10^5</f>
        <v>4300000</v>
      </c>
      <c r="N19" s="7">
        <v>700000</v>
      </c>
      <c r="O19" s="7">
        <v>2500000</v>
      </c>
      <c r="P19" s="7">
        <v>3200000</v>
      </c>
      <c r="Q19" s="7">
        <v>240000</v>
      </c>
      <c r="R19" s="7">
        <v>800000</v>
      </c>
    </row>
    <row r="20" spans="1:18" x14ac:dyDescent="0.45">
      <c r="A20" s="6">
        <v>18</v>
      </c>
      <c r="B20" s="7">
        <f>24*10^6</f>
        <v>24000000</v>
      </c>
      <c r="C20">
        <v>27000000</v>
      </c>
      <c r="D20" s="7">
        <v>20000000</v>
      </c>
      <c r="E20" s="7">
        <v>14000000</v>
      </c>
      <c r="F20" s="7">
        <f>18*10^6</f>
        <v>18000000</v>
      </c>
      <c r="G20" s="7">
        <f>32*10^6</f>
        <v>32000000</v>
      </c>
      <c r="H20" s="7">
        <v>20000000</v>
      </c>
      <c r="I20" s="7">
        <v>9000000</v>
      </c>
      <c r="K20" s="7">
        <f>12*10^6</f>
        <v>12000000</v>
      </c>
      <c r="L20" s="7">
        <v>530</v>
      </c>
      <c r="M20" s="7">
        <f>6*10^6</f>
        <v>6000000</v>
      </c>
      <c r="N20" s="7">
        <v>660000</v>
      </c>
      <c r="O20" s="7">
        <v>3500000</v>
      </c>
      <c r="P20" s="7">
        <v>5300000</v>
      </c>
      <c r="Q20" s="7">
        <v>3500000</v>
      </c>
      <c r="R20" s="7">
        <v>420000</v>
      </c>
    </row>
    <row r="21" spans="1:18" x14ac:dyDescent="0.45">
      <c r="A21" s="6">
        <v>19</v>
      </c>
      <c r="B21" s="7">
        <f>18*10^6</f>
        <v>18000000</v>
      </c>
      <c r="C21">
        <v>120000000</v>
      </c>
      <c r="D21" s="7">
        <v>18000000</v>
      </c>
      <c r="E21" s="7">
        <v>19000000</v>
      </c>
      <c r="F21" s="7">
        <f>5*10^6</f>
        <v>5000000</v>
      </c>
      <c r="G21" s="7">
        <f>7*10^6</f>
        <v>7000000</v>
      </c>
      <c r="H21" s="7">
        <v>34000000</v>
      </c>
      <c r="I21" s="7">
        <v>19000000</v>
      </c>
      <c r="K21" s="7">
        <f>10*10^6</f>
        <v>10000000</v>
      </c>
      <c r="L21" s="7">
        <v>1100</v>
      </c>
      <c r="M21" s="7">
        <f>58*10^5</f>
        <v>5800000</v>
      </c>
      <c r="N21" s="7">
        <v>610000</v>
      </c>
      <c r="O21" s="7">
        <v>1900000</v>
      </c>
      <c r="P21" s="7">
        <v>2900000</v>
      </c>
      <c r="Q21" s="7">
        <v>9000000</v>
      </c>
      <c r="R21" s="7">
        <v>1500000</v>
      </c>
    </row>
    <row r="22" spans="1:18" x14ac:dyDescent="0.45">
      <c r="A22" s="6">
        <v>20</v>
      </c>
      <c r="B22" s="7">
        <f>9*10^6</f>
        <v>9000000</v>
      </c>
      <c r="C22">
        <v>21000000</v>
      </c>
      <c r="D22" s="7">
        <v>9000000</v>
      </c>
      <c r="E22" s="7">
        <v>13000000</v>
      </c>
      <c r="F22" s="7">
        <f>26*10^5</f>
        <v>2600000</v>
      </c>
      <c r="G22" s="7">
        <f>60*10^5</f>
        <v>6000000</v>
      </c>
      <c r="H22" s="7">
        <v>42000000</v>
      </c>
      <c r="I22" s="7">
        <v>15000000</v>
      </c>
      <c r="K22" s="7">
        <f>5*10^6</f>
        <v>5000000</v>
      </c>
      <c r="L22" s="7">
        <v>900</v>
      </c>
      <c r="M22" s="7">
        <f>20*10^5</f>
        <v>2000000</v>
      </c>
      <c r="N22" s="7">
        <v>420000</v>
      </c>
      <c r="O22" s="7">
        <v>1900000</v>
      </c>
      <c r="P22" s="7">
        <v>2600000</v>
      </c>
      <c r="Q22" s="7">
        <v>6000000</v>
      </c>
      <c r="R22" s="7">
        <v>1700000</v>
      </c>
    </row>
    <row r="23" spans="1:18" x14ac:dyDescent="0.45">
      <c r="A23" s="6">
        <v>21</v>
      </c>
      <c r="B23" s="7">
        <f>35*10^6</f>
        <v>35000000</v>
      </c>
      <c r="C23">
        <v>35000000</v>
      </c>
      <c r="D23" s="7">
        <v>18000000</v>
      </c>
      <c r="E23" s="7">
        <v>7000000</v>
      </c>
      <c r="F23" s="7">
        <f>29*10^6</f>
        <v>29000000</v>
      </c>
      <c r="G23" s="7">
        <f>38*10^6</f>
        <v>38000000</v>
      </c>
      <c r="H23" s="7">
        <v>47000000</v>
      </c>
      <c r="I23" s="7">
        <v>11000000</v>
      </c>
      <c r="K23" s="7">
        <f>43*10^5</f>
        <v>4300000</v>
      </c>
      <c r="L23" s="7">
        <v>500</v>
      </c>
      <c r="M23" s="7">
        <f>5*10^6</f>
        <v>5000000</v>
      </c>
      <c r="N23" s="7">
        <v>1200000</v>
      </c>
      <c r="O23" s="7">
        <v>5500000</v>
      </c>
      <c r="P23" s="7">
        <v>6900000</v>
      </c>
      <c r="Q23" s="7">
        <v>8500000</v>
      </c>
      <c r="R23" s="7">
        <v>2400000</v>
      </c>
    </row>
    <row r="24" spans="1:18" x14ac:dyDescent="0.45">
      <c r="A24" s="6">
        <v>22</v>
      </c>
      <c r="B24" s="7">
        <f>36*10^6</f>
        <v>36000000</v>
      </c>
      <c r="C24">
        <v>38000000</v>
      </c>
      <c r="D24" s="7">
        <v>27000000</v>
      </c>
      <c r="E24" s="7">
        <v>19000000</v>
      </c>
      <c r="F24" s="7">
        <f>41*10^6</f>
        <v>41000000</v>
      </c>
      <c r="G24" s="7">
        <f>36*10^6</f>
        <v>36000000</v>
      </c>
      <c r="H24" s="7">
        <v>18000000</v>
      </c>
      <c r="I24" s="7">
        <v>9000000</v>
      </c>
      <c r="K24" s="7">
        <f>11*10^6</f>
        <v>11000000</v>
      </c>
      <c r="L24" s="7">
        <v>410</v>
      </c>
      <c r="M24" s="7">
        <f>51*10^5</f>
        <v>5100000</v>
      </c>
      <c r="N24" s="7">
        <v>4100000</v>
      </c>
      <c r="O24" s="7">
        <v>4700000</v>
      </c>
      <c r="P24" s="7">
        <v>6200000</v>
      </c>
      <c r="Q24" s="7">
        <v>8200000</v>
      </c>
      <c r="R24" s="7">
        <v>2100000</v>
      </c>
    </row>
    <row r="26" spans="1:18" x14ac:dyDescent="0.45">
      <c r="A26" s="8" t="s">
        <v>12</v>
      </c>
    </row>
    <row r="27" spans="1:18" x14ac:dyDescent="0.45">
      <c r="B27" s="1" t="s">
        <v>0</v>
      </c>
      <c r="K27" s="2" t="s">
        <v>1</v>
      </c>
    </row>
    <row r="28" spans="1:18" x14ac:dyDescent="0.45"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7</v>
      </c>
      <c r="H28" s="3" t="s">
        <v>8</v>
      </c>
      <c r="I28" s="3" t="s">
        <v>9</v>
      </c>
      <c r="K28" s="4" t="s">
        <v>2</v>
      </c>
      <c r="L28" s="4" t="s">
        <v>3</v>
      </c>
      <c r="M28" s="4" t="s">
        <v>4</v>
      </c>
      <c r="N28" s="4" t="s">
        <v>5</v>
      </c>
      <c r="O28" s="4" t="s">
        <v>6</v>
      </c>
      <c r="P28" s="4" t="s">
        <v>7</v>
      </c>
      <c r="Q28" s="4" t="s">
        <v>8</v>
      </c>
      <c r="R28" s="4" t="s">
        <v>9</v>
      </c>
    </row>
    <row r="29" spans="1:18" x14ac:dyDescent="0.45">
      <c r="A29" s="5" t="s">
        <v>10</v>
      </c>
      <c r="B29" s="3" t="s">
        <v>11</v>
      </c>
      <c r="C29" s="3" t="s">
        <v>11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3" t="s">
        <v>11</v>
      </c>
      <c r="K29" s="4" t="s">
        <v>11</v>
      </c>
      <c r="L29" s="4" t="s">
        <v>11</v>
      </c>
      <c r="M29" s="4" t="s">
        <v>11</v>
      </c>
      <c r="N29" s="4" t="s">
        <v>11</v>
      </c>
      <c r="O29" s="4" t="s">
        <v>11</v>
      </c>
      <c r="P29" s="4" t="s">
        <v>11</v>
      </c>
      <c r="Q29" s="4" t="s">
        <v>11</v>
      </c>
      <c r="R29" s="4" t="s">
        <v>11</v>
      </c>
    </row>
    <row r="30" spans="1:18" x14ac:dyDescent="0.45">
      <c r="A30" s="6">
        <v>2</v>
      </c>
      <c r="B30" s="9">
        <f t="shared" ref="B30:I30" si="0">LOG10(B4)</f>
        <v>7.5440680443502757</v>
      </c>
      <c r="C30" s="9">
        <f t="shared" si="0"/>
        <v>7.6232492903979008</v>
      </c>
      <c r="D30" s="9">
        <f t="shared" si="0"/>
        <v>7.8061799739838875</v>
      </c>
      <c r="E30" s="9">
        <f t="shared" si="0"/>
        <v>7.4771212547196626</v>
      </c>
      <c r="F30" s="9">
        <f t="shared" si="0"/>
        <v>7.6812412373755876</v>
      </c>
      <c r="G30" s="9">
        <f t="shared" si="0"/>
        <v>7.6434526764861879</v>
      </c>
      <c r="H30" s="9">
        <f t="shared" si="0"/>
        <v>7.6127838567197355</v>
      </c>
      <c r="I30" s="9">
        <f t="shared" si="0"/>
        <v>7.5185139398778871</v>
      </c>
      <c r="J30" s="9"/>
      <c r="K30" s="9">
        <f t="shared" ref="K30:R30" si="1">LOG10(K4)</f>
        <v>2.3617278360175931</v>
      </c>
      <c r="L30" s="9">
        <f t="shared" si="1"/>
        <v>2.6901960800285138</v>
      </c>
      <c r="M30" s="9">
        <f t="shared" si="1"/>
        <v>2.3222192947339191</v>
      </c>
      <c r="N30" s="9">
        <f t="shared" si="1"/>
        <v>2.255272505103306</v>
      </c>
      <c r="O30" s="9">
        <f t="shared" si="1"/>
        <v>2.3424226808222062</v>
      </c>
      <c r="P30" s="9">
        <f t="shared" si="1"/>
        <v>2.0791812460476247</v>
      </c>
      <c r="Q30" s="9">
        <f t="shared" si="1"/>
        <v>2.3010299956639813</v>
      </c>
      <c r="R30" s="9">
        <f t="shared" si="1"/>
        <v>2.2304489213782741</v>
      </c>
    </row>
    <row r="31" spans="1:18" x14ac:dyDescent="0.45">
      <c r="A31" s="6">
        <v>3</v>
      </c>
      <c r="B31" s="9">
        <f t="shared" ref="B31:I31" si="2">LOG10(B5)</f>
        <v>7.5314789170422554</v>
      </c>
      <c r="C31" s="9">
        <f t="shared" si="2"/>
        <v>7.6989700043360187</v>
      </c>
      <c r="D31" s="9">
        <f t="shared" si="2"/>
        <v>7.6127838567197355</v>
      </c>
      <c r="E31" s="9">
        <f t="shared" si="2"/>
        <v>7.4771212547196626</v>
      </c>
      <c r="F31" s="9">
        <f t="shared" si="2"/>
        <v>7.4771212547196626</v>
      </c>
      <c r="G31" s="9">
        <f t="shared" si="2"/>
        <v>7.3222192947339195</v>
      </c>
      <c r="H31" s="9">
        <f t="shared" si="2"/>
        <v>7.4913616938342731</v>
      </c>
      <c r="I31" s="9">
        <f t="shared" si="2"/>
        <v>7.3222192947339195</v>
      </c>
      <c r="J31" s="9"/>
      <c r="K31" s="9">
        <f t="shared" ref="K31:R31" si="3">LOG10(K5)</f>
        <v>1.4771212547196624</v>
      </c>
      <c r="L31" s="9">
        <f t="shared" si="3"/>
        <v>1.8450980400142569</v>
      </c>
      <c r="M31" s="9">
        <f t="shared" si="3"/>
        <v>2.1461280356782382</v>
      </c>
      <c r="N31" s="9">
        <f t="shared" si="3"/>
        <v>2.8450980400142569</v>
      </c>
      <c r="O31" s="9">
        <f t="shared" si="3"/>
        <v>1.6020599913279623</v>
      </c>
      <c r="P31" s="9">
        <f t="shared" si="3"/>
        <v>3.3979400086720375</v>
      </c>
      <c r="Q31" s="9">
        <f t="shared" si="3"/>
        <v>2.8129133566428557</v>
      </c>
      <c r="R31" s="9">
        <f t="shared" si="3"/>
        <v>3.1461280356782382</v>
      </c>
    </row>
    <row r="32" spans="1:18" x14ac:dyDescent="0.45">
      <c r="A32" s="6">
        <v>4</v>
      </c>
      <c r="B32" s="9">
        <f t="shared" ref="B32:I32" si="4">LOG10(B6)</f>
        <v>7.4471580313422194</v>
      </c>
      <c r="C32" s="9">
        <f t="shared" si="4"/>
        <v>7.4149733479708182</v>
      </c>
      <c r="D32" s="9">
        <f t="shared" si="4"/>
        <v>7.4149733479708182</v>
      </c>
      <c r="E32" s="9">
        <f t="shared" si="4"/>
        <v>7.2304489213782741</v>
      </c>
      <c r="F32" s="9">
        <f t="shared" si="4"/>
        <v>7.1760912590556813</v>
      </c>
      <c r="G32" s="9">
        <f t="shared" si="4"/>
        <v>7.4623979978989565</v>
      </c>
      <c r="H32" s="9">
        <f t="shared" si="4"/>
        <v>7.3979400086720375</v>
      </c>
      <c r="I32" s="9">
        <f t="shared" si="4"/>
        <v>7.1760912590556813</v>
      </c>
      <c r="J32" s="9"/>
      <c r="K32" s="9">
        <f t="shared" ref="K32:R32" si="5">LOG10(K6)</f>
        <v>1.3010299956639813</v>
      </c>
      <c r="L32" s="9">
        <f t="shared" si="5"/>
        <v>1.6989700043360187</v>
      </c>
      <c r="M32" s="9">
        <f t="shared" si="5"/>
        <v>1.6020599913279623</v>
      </c>
      <c r="N32" s="9">
        <f t="shared" si="5"/>
        <v>2.2041199826559246</v>
      </c>
      <c r="O32" s="9">
        <f t="shared" si="5"/>
        <v>2.9030899869919438</v>
      </c>
      <c r="P32" s="9">
        <f t="shared" si="5"/>
        <v>4.8450980400142569</v>
      </c>
      <c r="Q32" s="9">
        <f t="shared" si="5"/>
        <v>3.0413926851582249</v>
      </c>
      <c r="R32" s="9">
        <f t="shared" si="5"/>
        <v>3.3979400086720375</v>
      </c>
    </row>
    <row r="33" spans="1:18" x14ac:dyDescent="0.45">
      <c r="A33" s="6">
        <v>5</v>
      </c>
      <c r="B33" s="9">
        <f t="shared" ref="B33:I33" si="6">LOG10(B7)</f>
        <v>7.5051499783199063</v>
      </c>
      <c r="C33" s="9">
        <f t="shared" si="6"/>
        <v>7.6334684555795862</v>
      </c>
      <c r="D33" s="9">
        <f t="shared" si="6"/>
        <v>7.2552725051033065</v>
      </c>
      <c r="E33" s="9">
        <f t="shared" si="6"/>
        <v>6.9030899869919438</v>
      </c>
      <c r="F33" s="9">
        <f t="shared" si="6"/>
        <v>7.3617278360175931</v>
      </c>
      <c r="G33" s="9">
        <f t="shared" si="6"/>
        <v>7.5440680443502757</v>
      </c>
      <c r="H33" s="9">
        <f t="shared" si="6"/>
        <v>7.6434526764861879</v>
      </c>
      <c r="I33" s="9">
        <f t="shared" si="6"/>
        <v>7.7781512503836439</v>
      </c>
      <c r="J33" s="9"/>
      <c r="K33" s="9">
        <f t="shared" ref="K33:R33" si="7">LOG10(K7)</f>
        <v>2.3424226808222062</v>
      </c>
      <c r="L33" s="9">
        <f t="shared" si="7"/>
        <v>2.4771212547196626</v>
      </c>
      <c r="M33" s="9">
        <f t="shared" si="7"/>
        <v>3</v>
      </c>
      <c r="N33" s="9">
        <f t="shared" si="7"/>
        <v>2</v>
      </c>
      <c r="O33" s="9">
        <f t="shared" si="7"/>
        <v>5.5051499783199063</v>
      </c>
      <c r="P33" s="9">
        <f t="shared" si="7"/>
        <v>5.204119982655925</v>
      </c>
      <c r="Q33" s="9">
        <f t="shared" si="7"/>
        <v>3.1760912590556813</v>
      </c>
      <c r="R33" s="9">
        <f t="shared" si="7"/>
        <v>4.1760912590556813</v>
      </c>
    </row>
    <row r="34" spans="1:18" x14ac:dyDescent="0.45">
      <c r="A34" s="6">
        <v>6</v>
      </c>
      <c r="B34" s="9">
        <f t="shared" ref="B34:I34" si="8">LOG10(B8)</f>
        <v>7.3979400086720375</v>
      </c>
      <c r="C34" s="9">
        <f t="shared" si="8"/>
        <v>7.6627578316815743</v>
      </c>
      <c r="D34" s="9">
        <f t="shared" si="8"/>
        <v>7.4913616938342731</v>
      </c>
      <c r="E34" s="9">
        <f t="shared" si="8"/>
        <v>7.3979400086720375</v>
      </c>
      <c r="F34" s="9">
        <f t="shared" si="8"/>
        <v>7.568201724066995</v>
      </c>
      <c r="G34" s="9">
        <f t="shared" si="8"/>
        <v>7.9731278535996983</v>
      </c>
      <c r="H34" s="9">
        <f t="shared" si="8"/>
        <v>7.6127838567197355</v>
      </c>
      <c r="I34" s="9">
        <f t="shared" si="8"/>
        <v>7.2552725051033065</v>
      </c>
      <c r="J34" s="9"/>
      <c r="K34" s="9">
        <f t="shared" ref="K34:R34" si="9">LOG10(K8)</f>
        <v>3.5185139398778875</v>
      </c>
      <c r="L34" s="9">
        <f t="shared" si="9"/>
        <v>3.0791812460476247</v>
      </c>
      <c r="M34" s="9">
        <f t="shared" si="9"/>
        <v>4.1139433523068369</v>
      </c>
      <c r="N34" s="9">
        <f t="shared" si="9"/>
        <v>4.6334684555795862</v>
      </c>
      <c r="O34" s="9">
        <f t="shared" si="9"/>
        <v>5.3010299956639813</v>
      </c>
      <c r="P34" s="9">
        <f t="shared" si="9"/>
        <v>5.4313637641589869</v>
      </c>
      <c r="Q34" s="9">
        <f t="shared" si="9"/>
        <v>3.3802112417116059</v>
      </c>
      <c r="R34" s="9">
        <f t="shared" si="9"/>
        <v>4.9084850188786495</v>
      </c>
    </row>
    <row r="35" spans="1:18" x14ac:dyDescent="0.45">
      <c r="A35" s="6">
        <v>7</v>
      </c>
      <c r="B35" s="9">
        <f t="shared" ref="B35:I35" si="10">LOG10(B9)</f>
        <v>7.5185139398778871</v>
      </c>
      <c r="C35" s="9">
        <f t="shared" si="10"/>
        <v>7.5797835966168101</v>
      </c>
      <c r="D35" s="9">
        <f t="shared" si="10"/>
        <v>7.5185139398778871</v>
      </c>
      <c r="E35" s="9">
        <f t="shared" si="10"/>
        <v>7.2787536009528289</v>
      </c>
      <c r="F35" s="9">
        <f t="shared" si="10"/>
        <v>7.3802112417116064</v>
      </c>
      <c r="G35" s="9">
        <f t="shared" si="10"/>
        <v>7.6434526764861879</v>
      </c>
      <c r="H35" s="9">
        <f t="shared" si="10"/>
        <v>7.3424226808222066</v>
      </c>
      <c r="I35" s="9">
        <f t="shared" si="10"/>
        <v>7.3979400086720375</v>
      </c>
      <c r="J35" s="9"/>
      <c r="K35" s="9">
        <f t="shared" ref="K35:R35" si="11">LOG10(K9)</f>
        <v>3.9542425094393248</v>
      </c>
      <c r="L35" s="9">
        <f t="shared" si="11"/>
        <v>3.568201724066995</v>
      </c>
      <c r="M35" s="9">
        <f t="shared" si="11"/>
        <v>3.5185139398778875</v>
      </c>
      <c r="N35" s="9">
        <f t="shared" si="11"/>
        <v>4.7075701760979367</v>
      </c>
      <c r="O35" s="9">
        <f t="shared" si="11"/>
        <v>5.6434526764861879</v>
      </c>
      <c r="P35" s="9">
        <f t="shared" si="11"/>
        <v>5.5051499783199063</v>
      </c>
      <c r="Q35" s="9">
        <f t="shared" si="11"/>
        <v>3.3010299956639813</v>
      </c>
      <c r="R35" s="9">
        <f t="shared" si="11"/>
        <v>4.8864907251724823</v>
      </c>
    </row>
    <row r="36" spans="1:18" x14ac:dyDescent="0.45">
      <c r="A36" s="6">
        <v>8</v>
      </c>
      <c r="B36" s="9">
        <f t="shared" ref="B36:I36" si="12">LOG10(B10)</f>
        <v>7.4149733479708182</v>
      </c>
      <c r="C36" s="9">
        <f t="shared" si="12"/>
        <v>7.5797835966168101</v>
      </c>
      <c r="D36" s="9">
        <f t="shared" si="12"/>
        <v>7.6232492903979008</v>
      </c>
      <c r="E36" s="9">
        <f t="shared" si="12"/>
        <v>7.1461280356782382</v>
      </c>
      <c r="F36" s="9">
        <f t="shared" si="12"/>
        <v>7.3424226808222066</v>
      </c>
      <c r="G36" s="9">
        <f t="shared" si="12"/>
        <v>7.5051499783199063</v>
      </c>
      <c r="H36" s="9">
        <f t="shared" si="12"/>
        <v>7.3979400086720375</v>
      </c>
      <c r="I36" s="9">
        <f t="shared" si="12"/>
        <v>7.204119982655925</v>
      </c>
      <c r="J36" s="9"/>
      <c r="K36" s="9">
        <f t="shared" ref="K36:R36" si="13">LOG10(K10)</f>
        <v>3.5910646070264991</v>
      </c>
      <c r="L36" s="9">
        <f t="shared" si="13"/>
        <v>3.3424226808222062</v>
      </c>
      <c r="M36" s="9">
        <f t="shared" si="13"/>
        <v>3.7075701760979363</v>
      </c>
      <c r="N36" s="9">
        <f t="shared" si="13"/>
        <v>4.4623979978989565</v>
      </c>
      <c r="O36" s="9">
        <f t="shared" si="13"/>
        <v>5.1139433523068369</v>
      </c>
      <c r="P36" s="9">
        <f t="shared" si="13"/>
        <v>5.3979400086720375</v>
      </c>
      <c r="Q36" s="9">
        <f t="shared" si="13"/>
        <v>3.2787536009528289</v>
      </c>
      <c r="R36" s="9">
        <f t="shared" si="13"/>
        <v>4.4623979978989565</v>
      </c>
    </row>
    <row r="37" spans="1:18" x14ac:dyDescent="0.45">
      <c r="A37" s="6">
        <v>9</v>
      </c>
      <c r="B37" s="9">
        <f t="shared" ref="B37:I37" si="14">LOG10(B11)</f>
        <v>7.2304489213782741</v>
      </c>
      <c r="C37" s="9">
        <f t="shared" si="14"/>
        <v>7.3979400086720375</v>
      </c>
      <c r="D37" s="9">
        <f t="shared" si="14"/>
        <v>7.6334684555795862</v>
      </c>
      <c r="E37" s="9">
        <f t="shared" si="14"/>
        <v>7.2304489213782741</v>
      </c>
      <c r="F37" s="9">
        <f t="shared" si="14"/>
        <v>7.5185139398778871</v>
      </c>
      <c r="G37" s="9">
        <f t="shared" si="14"/>
        <v>7.204119982655925</v>
      </c>
      <c r="H37" s="9">
        <f t="shared" si="14"/>
        <v>7.3010299956639813</v>
      </c>
      <c r="I37" s="9">
        <f t="shared" si="14"/>
        <v>7.2552725051033065</v>
      </c>
      <c r="J37" s="9"/>
      <c r="K37" s="9">
        <f t="shared" ref="K37:R37" si="15">LOG10(K11)</f>
        <v>3.8129133566428557</v>
      </c>
      <c r="L37" s="9">
        <f t="shared" si="15"/>
        <v>2.6434526764861874</v>
      </c>
      <c r="M37" s="9">
        <f t="shared" si="15"/>
        <v>5.204119982655925</v>
      </c>
      <c r="N37" s="9">
        <f t="shared" si="15"/>
        <v>4.568201724066995</v>
      </c>
      <c r="O37" s="9">
        <f t="shared" si="15"/>
        <v>5.8195439355418683</v>
      </c>
      <c r="P37" s="9">
        <f t="shared" si="15"/>
        <v>6.0791812460476251</v>
      </c>
      <c r="Q37" s="9">
        <f t="shared" si="15"/>
        <v>2.4771212547196626</v>
      </c>
      <c r="R37" s="9">
        <f t="shared" si="15"/>
        <v>4.4471580313422194</v>
      </c>
    </row>
    <row r="38" spans="1:18" x14ac:dyDescent="0.45">
      <c r="A38" s="6">
        <v>10</v>
      </c>
      <c r="B38" s="9">
        <f t="shared" ref="B38:I38" si="16">LOG10(B12)</f>
        <v>7.5440680443502757</v>
      </c>
      <c r="C38" s="9">
        <f t="shared" si="16"/>
        <v>7.3424226808222066</v>
      </c>
      <c r="D38" s="9">
        <f t="shared" si="16"/>
        <v>7.4623979978989565</v>
      </c>
      <c r="E38" s="9">
        <f t="shared" si="16"/>
        <v>7.1139433523068369</v>
      </c>
      <c r="F38" s="9">
        <f t="shared" si="16"/>
        <v>6.9542425094393252</v>
      </c>
      <c r="G38" s="9">
        <f t="shared" si="16"/>
        <v>7.1139433523068369</v>
      </c>
      <c r="H38" s="9">
        <f t="shared" si="16"/>
        <v>7.3802112417116064</v>
      </c>
      <c r="I38" s="9">
        <f t="shared" si="16"/>
        <v>6.9542425094393252</v>
      </c>
      <c r="J38" s="9"/>
      <c r="K38" s="9">
        <f t="shared" ref="K38:R38" si="17">LOG10(K12)</f>
        <v>5.0791812460476251</v>
      </c>
      <c r="L38" s="9">
        <f t="shared" si="17"/>
        <v>2.6989700043360187</v>
      </c>
      <c r="M38" s="9">
        <f t="shared" si="17"/>
        <v>6.3617278360175931</v>
      </c>
      <c r="N38" s="9">
        <f t="shared" si="17"/>
        <v>4.6020599913279625</v>
      </c>
      <c r="O38" s="9">
        <f t="shared" si="17"/>
        <v>6.4149733479708182</v>
      </c>
      <c r="P38" s="9">
        <f t="shared" si="17"/>
        <v>6.2304489213782741</v>
      </c>
      <c r="Q38" s="9">
        <f t="shared" si="17"/>
        <v>2.5440680443502757</v>
      </c>
      <c r="R38" s="9">
        <f t="shared" si="17"/>
        <v>4.6812412373755876</v>
      </c>
    </row>
    <row r="39" spans="1:18" x14ac:dyDescent="0.45">
      <c r="A39" s="6">
        <v>11</v>
      </c>
      <c r="B39" s="9">
        <f t="shared" ref="B39:I39" si="18">LOG10(B13)</f>
        <v>7.3979400086720375</v>
      </c>
      <c r="C39" s="9">
        <f t="shared" si="18"/>
        <v>7.3979400086720375</v>
      </c>
      <c r="D39" s="9">
        <f t="shared" si="18"/>
        <v>7.3617278360175931</v>
      </c>
      <c r="E39" s="9">
        <f t="shared" si="18"/>
        <v>7.2304489213782741</v>
      </c>
      <c r="F39" s="9">
        <f t="shared" si="18"/>
        <v>6.8450980400142569</v>
      </c>
      <c r="G39" s="9">
        <f t="shared" si="18"/>
        <v>7.4623979978989565</v>
      </c>
      <c r="H39" s="9">
        <f t="shared" si="18"/>
        <v>7.5051499783199063</v>
      </c>
      <c r="I39" s="9">
        <f t="shared" si="18"/>
        <v>7.1760912590556813</v>
      </c>
      <c r="J39" s="9"/>
      <c r="K39" s="9">
        <f t="shared" ref="K39:R39" si="19">LOG10(K13)</f>
        <v>6.6812412373755876</v>
      </c>
      <c r="L39" s="9">
        <f t="shared" si="19"/>
        <v>2.3010299956639813</v>
      </c>
      <c r="M39" s="9">
        <f t="shared" si="19"/>
        <v>6.1461280356782382</v>
      </c>
      <c r="N39" s="9">
        <f t="shared" si="19"/>
        <v>4.9030899869919438</v>
      </c>
      <c r="O39" s="9">
        <f t="shared" si="19"/>
        <v>6.2787536009528289</v>
      </c>
      <c r="P39" s="9">
        <f t="shared" si="19"/>
        <v>6.3424226808222066</v>
      </c>
      <c r="Q39" s="9">
        <f t="shared" si="19"/>
        <v>2.7781512503836434</v>
      </c>
      <c r="R39" s="9">
        <f t="shared" si="19"/>
        <v>4.9030899869919438</v>
      </c>
    </row>
    <row r="40" spans="1:18" x14ac:dyDescent="0.45">
      <c r="A40" s="6">
        <v>12</v>
      </c>
      <c r="B40" s="9">
        <f t="shared" ref="B40:I40" si="20">LOG10(B14)</f>
        <v>7.3979400086720375</v>
      </c>
      <c r="C40" s="9">
        <f t="shared" si="20"/>
        <v>7.3802112417116064</v>
      </c>
      <c r="D40" s="9">
        <f t="shared" si="20"/>
        <v>7.3010299956639813</v>
      </c>
      <c r="E40" s="9">
        <f t="shared" si="20"/>
        <v>7.0791812460476251</v>
      </c>
      <c r="F40" s="9">
        <f t="shared" si="20"/>
        <v>7.0791812460476251</v>
      </c>
      <c r="G40" s="9">
        <f t="shared" si="20"/>
        <v>7.5440680443502757</v>
      </c>
      <c r="H40" s="9">
        <f t="shared" si="20"/>
        <v>7.3424226808222066</v>
      </c>
      <c r="I40" s="9">
        <f t="shared" si="20"/>
        <v>7.0791812460476251</v>
      </c>
      <c r="J40" s="9"/>
      <c r="K40" s="9">
        <f t="shared" ref="K40:R40" si="21">LOG10(K14)</f>
        <v>6.9344984512435675</v>
      </c>
      <c r="L40" s="9">
        <f t="shared" si="21"/>
        <v>2.2787536009528289</v>
      </c>
      <c r="M40" s="9">
        <f t="shared" si="21"/>
        <v>6.2552725051033065</v>
      </c>
      <c r="N40" s="9">
        <f t="shared" si="21"/>
        <v>5.2552725051033065</v>
      </c>
      <c r="O40" s="9">
        <f t="shared" si="21"/>
        <v>6.1760912590556813</v>
      </c>
      <c r="P40" s="9">
        <f t="shared" si="21"/>
        <v>6.3222192947339195</v>
      </c>
      <c r="Q40" s="9">
        <f t="shared" si="21"/>
        <v>3.3424226808222062</v>
      </c>
      <c r="R40" s="9">
        <f t="shared" si="21"/>
        <v>5</v>
      </c>
    </row>
    <row r="41" spans="1:18" x14ac:dyDescent="0.45">
      <c r="A41" s="6">
        <v>13</v>
      </c>
      <c r="B41" s="9">
        <f t="shared" ref="B41:I41" si="22">LOG10(B15)</f>
        <v>6.7781512503836439</v>
      </c>
      <c r="C41" s="9">
        <f t="shared" si="22"/>
        <v>7.4313637641589869</v>
      </c>
      <c r="D41" s="9">
        <f t="shared" si="22"/>
        <v>7.1760912590556813</v>
      </c>
      <c r="E41" s="9">
        <f t="shared" si="22"/>
        <v>7.1760912590556813</v>
      </c>
      <c r="F41" s="9">
        <f t="shared" si="22"/>
        <v>6.6989700043360187</v>
      </c>
      <c r="G41" s="9">
        <f t="shared" si="22"/>
        <v>7.5910646070264995</v>
      </c>
      <c r="H41" s="9">
        <f t="shared" si="22"/>
        <v>7.6232492903979008</v>
      </c>
      <c r="I41" s="9">
        <f t="shared" si="22"/>
        <v>7.0413926851582254</v>
      </c>
      <c r="J41" s="9"/>
      <c r="K41" s="9">
        <f t="shared" ref="K41:R41" si="23">LOG10(K15)</f>
        <v>6.6020599913279625</v>
      </c>
      <c r="L41" s="9">
        <f t="shared" si="23"/>
        <v>2.6989700043360187</v>
      </c>
      <c r="M41" s="9">
        <f t="shared" si="23"/>
        <v>6.204119982655925</v>
      </c>
      <c r="N41" s="9">
        <f t="shared" si="23"/>
        <v>5.2552725051033065</v>
      </c>
      <c r="O41" s="9">
        <f t="shared" si="23"/>
        <v>6.2304489213782741</v>
      </c>
      <c r="P41" s="9">
        <f t="shared" si="23"/>
        <v>6.4623979978989565</v>
      </c>
      <c r="Q41" s="9">
        <f t="shared" si="23"/>
        <v>3.5051499783199058</v>
      </c>
      <c r="R41" s="9">
        <f t="shared" si="23"/>
        <v>5.1461280356782382</v>
      </c>
    </row>
    <row r="42" spans="1:18" x14ac:dyDescent="0.45">
      <c r="A42" s="6">
        <v>14</v>
      </c>
      <c r="B42" s="9">
        <f t="shared" ref="B42:I42" si="24">LOG10(B16)</f>
        <v>7.6334684555795862</v>
      </c>
      <c r="C42" s="9">
        <f t="shared" si="24"/>
        <v>7.6232492903979008</v>
      </c>
      <c r="D42" s="9">
        <f t="shared" si="24"/>
        <v>7.5314789170422554</v>
      </c>
      <c r="E42" s="9">
        <f t="shared" si="24"/>
        <v>7.3979400086720375</v>
      </c>
      <c r="F42" s="9">
        <f t="shared" si="24"/>
        <v>7.3979400086720375</v>
      </c>
      <c r="G42" s="9">
        <f t="shared" si="24"/>
        <v>7.5440680443502757</v>
      </c>
      <c r="H42" s="9">
        <f t="shared" si="24"/>
        <v>7.6812412373755876</v>
      </c>
      <c r="I42" s="9">
        <f t="shared" si="24"/>
        <v>7.3617278360175931</v>
      </c>
      <c r="J42" s="9"/>
      <c r="K42" s="9">
        <f t="shared" ref="K42:R42" si="25">LOG10(K16)</f>
        <v>6.6989700043360187</v>
      </c>
      <c r="L42" s="9">
        <f t="shared" si="25"/>
        <v>3.0791812460476247</v>
      </c>
      <c r="M42" s="9">
        <f t="shared" si="25"/>
        <v>6.3424226808222066</v>
      </c>
      <c r="N42" s="9">
        <f t="shared" si="25"/>
        <v>5.6020599913279625</v>
      </c>
      <c r="O42" s="9">
        <f t="shared" si="25"/>
        <v>6.4471580313422194</v>
      </c>
      <c r="P42" s="9">
        <f t="shared" si="25"/>
        <v>6.4623979978989565</v>
      </c>
      <c r="Q42" s="9">
        <f t="shared" si="25"/>
        <v>4.3979400086720375</v>
      </c>
      <c r="R42" s="9">
        <f t="shared" si="25"/>
        <v>5.5051499783199063</v>
      </c>
    </row>
    <row r="43" spans="1:18" x14ac:dyDescent="0.45">
      <c r="A43" s="6">
        <v>15</v>
      </c>
      <c r="B43" s="9">
        <f t="shared" ref="B43:I43" si="26">LOG10(B17)</f>
        <v>7.1139433523068369</v>
      </c>
      <c r="C43" s="9">
        <f t="shared" si="26"/>
        <v>7.4623979978989565</v>
      </c>
      <c r="D43" s="9">
        <f t="shared" si="26"/>
        <v>7.4913616938342731</v>
      </c>
      <c r="E43" s="9">
        <f t="shared" si="26"/>
        <v>7.0791812460476251</v>
      </c>
      <c r="F43" s="9">
        <f t="shared" si="26"/>
        <v>6.5440680443502757</v>
      </c>
      <c r="G43" s="9">
        <f t="shared" si="26"/>
        <v>6.9542425094393252</v>
      </c>
      <c r="H43" s="9">
        <f t="shared" si="26"/>
        <v>7.3979400086720375</v>
      </c>
      <c r="I43" s="9">
        <f t="shared" si="26"/>
        <v>7.1760912590556813</v>
      </c>
      <c r="J43" s="9"/>
      <c r="K43" s="9">
        <f t="shared" ref="K43:R43" si="27">LOG10(K17)</f>
        <v>6.8450980400142569</v>
      </c>
      <c r="L43" s="9">
        <f t="shared" si="27"/>
        <v>2.4149733479708178</v>
      </c>
      <c r="M43" s="9">
        <f t="shared" si="27"/>
        <v>6</v>
      </c>
      <c r="N43" s="9">
        <f t="shared" si="27"/>
        <v>5.4913616938342731</v>
      </c>
      <c r="O43" s="9">
        <f t="shared" si="27"/>
        <v>6.2304489213782741</v>
      </c>
      <c r="P43" s="9">
        <f t="shared" si="27"/>
        <v>6.4771212547196626</v>
      </c>
      <c r="Q43" s="9">
        <f t="shared" si="27"/>
        <v>4</v>
      </c>
      <c r="R43" s="9">
        <f t="shared" si="27"/>
        <v>5.3424226808222066</v>
      </c>
    </row>
    <row r="44" spans="1:18" x14ac:dyDescent="0.45">
      <c r="A44" s="6">
        <v>16</v>
      </c>
      <c r="B44" s="9">
        <f t="shared" ref="B44:I44" si="28">LOG10(B18)</f>
        <v>7.1760912590556813</v>
      </c>
      <c r="C44" s="9">
        <f t="shared" si="28"/>
        <v>7.5563025007672868</v>
      </c>
      <c r="D44" s="9">
        <f t="shared" si="28"/>
        <v>7.5314789170422554</v>
      </c>
      <c r="E44" s="9">
        <f t="shared" si="28"/>
        <v>7.1139433523068369</v>
      </c>
      <c r="F44" s="9">
        <f t="shared" si="28"/>
        <v>7.4149733479708182</v>
      </c>
      <c r="G44" s="9">
        <f t="shared" si="28"/>
        <v>7.4313637641589869</v>
      </c>
      <c r="H44" s="9">
        <f t="shared" si="28"/>
        <v>7.4623979978989565</v>
      </c>
      <c r="I44" s="9">
        <f t="shared" si="28"/>
        <v>7.1760912590556813</v>
      </c>
      <c r="J44" s="9"/>
      <c r="K44" s="9">
        <f t="shared" ref="K44:R44" si="29">LOG10(K18)</f>
        <v>6.8450980400142569</v>
      </c>
      <c r="L44" s="9">
        <f t="shared" si="29"/>
        <v>3.0413926851582249</v>
      </c>
      <c r="M44" s="9">
        <f t="shared" si="29"/>
        <v>6.3617278360175931</v>
      </c>
      <c r="N44" s="9">
        <f t="shared" si="29"/>
        <v>5.6434526764861879</v>
      </c>
      <c r="O44" s="9">
        <f t="shared" si="29"/>
        <v>6.8573324964312681</v>
      </c>
      <c r="P44" s="9">
        <f t="shared" si="29"/>
        <v>6.4771212547196626</v>
      </c>
      <c r="Q44" s="9">
        <f t="shared" si="29"/>
        <v>4.8061799739838875</v>
      </c>
      <c r="R44" s="9">
        <f t="shared" si="29"/>
        <v>5.6812412373755876</v>
      </c>
    </row>
    <row r="45" spans="1:18" x14ac:dyDescent="0.45">
      <c r="A45" s="6">
        <v>17</v>
      </c>
      <c r="B45" s="9">
        <f t="shared" ref="B45:I45" si="30">LOG10(B19)</f>
        <v>7.1461280356782382</v>
      </c>
      <c r="C45" s="9">
        <f t="shared" si="30"/>
        <v>7.3617278360175931</v>
      </c>
      <c r="D45" s="9">
        <f t="shared" si="30"/>
        <v>7.2787536009528289</v>
      </c>
      <c r="E45" s="9">
        <f t="shared" si="30"/>
        <v>6.7781512503836439</v>
      </c>
      <c r="F45" s="9">
        <f t="shared" si="30"/>
        <v>7</v>
      </c>
      <c r="G45" s="9">
        <f t="shared" si="30"/>
        <v>7.3424226808222066</v>
      </c>
      <c r="H45" s="9">
        <f t="shared" si="30"/>
        <v>7.5185139398778871</v>
      </c>
      <c r="I45" s="9">
        <f t="shared" si="30"/>
        <v>7.1461280356782382</v>
      </c>
      <c r="J45" s="9"/>
      <c r="K45" s="9">
        <f t="shared" ref="K45:R45" si="31">LOG10(K19)</f>
        <v>6.9030899869919438</v>
      </c>
      <c r="L45" s="9">
        <f t="shared" si="31"/>
        <v>2.3010299956639813</v>
      </c>
      <c r="M45" s="9">
        <f t="shared" si="31"/>
        <v>6.6334684555795862</v>
      </c>
      <c r="N45" s="9">
        <f t="shared" si="31"/>
        <v>5.8450980400142569</v>
      </c>
      <c r="O45" s="9">
        <f t="shared" si="31"/>
        <v>6.3979400086720375</v>
      </c>
      <c r="P45" s="9">
        <f t="shared" si="31"/>
        <v>6.5051499783199063</v>
      </c>
      <c r="Q45" s="9">
        <f t="shared" si="31"/>
        <v>5.3802112417116064</v>
      </c>
      <c r="R45" s="9">
        <f t="shared" si="31"/>
        <v>5.9030899869919438</v>
      </c>
    </row>
    <row r="46" spans="1:18" x14ac:dyDescent="0.45">
      <c r="A46" s="6">
        <v>18</v>
      </c>
      <c r="B46" s="9">
        <f t="shared" ref="B46:I46" si="32">LOG10(B20)</f>
        <v>7.3802112417116064</v>
      </c>
      <c r="C46" s="9">
        <f t="shared" si="32"/>
        <v>7.4313637641589869</v>
      </c>
      <c r="D46" s="9">
        <f t="shared" si="32"/>
        <v>7.3010299956639813</v>
      </c>
      <c r="E46" s="9">
        <f t="shared" si="32"/>
        <v>7.1461280356782382</v>
      </c>
      <c r="F46" s="9">
        <f t="shared" si="32"/>
        <v>7.2552725051033065</v>
      </c>
      <c r="G46" s="9">
        <f t="shared" si="32"/>
        <v>7.5051499783199063</v>
      </c>
      <c r="H46" s="9">
        <f t="shared" si="32"/>
        <v>7.3010299956639813</v>
      </c>
      <c r="I46" s="9">
        <f t="shared" si="32"/>
        <v>6.9542425094393252</v>
      </c>
      <c r="J46" s="9"/>
      <c r="K46" s="9">
        <f t="shared" ref="K46:R46" si="33">LOG10(K20)</f>
        <v>7.0791812460476251</v>
      </c>
      <c r="L46" s="9">
        <f t="shared" si="33"/>
        <v>2.7242758696007892</v>
      </c>
      <c r="M46" s="9">
        <f t="shared" si="33"/>
        <v>6.7781512503836439</v>
      </c>
      <c r="N46" s="9">
        <f t="shared" si="33"/>
        <v>5.8195439355418683</v>
      </c>
      <c r="O46" s="9">
        <f t="shared" si="33"/>
        <v>6.5440680443502757</v>
      </c>
      <c r="P46" s="9">
        <f t="shared" si="33"/>
        <v>6.7242758696007892</v>
      </c>
      <c r="Q46" s="9">
        <f t="shared" si="33"/>
        <v>6.5440680443502757</v>
      </c>
      <c r="R46" s="9">
        <f t="shared" si="33"/>
        <v>5.6232492903979008</v>
      </c>
    </row>
    <row r="47" spans="1:18" x14ac:dyDescent="0.45">
      <c r="A47" s="6">
        <v>19</v>
      </c>
      <c r="B47" s="9">
        <f t="shared" ref="B47:I47" si="34">LOG10(B21)</f>
        <v>7.2552725051033065</v>
      </c>
      <c r="C47" s="9">
        <f t="shared" si="34"/>
        <v>8.0791812460476251</v>
      </c>
      <c r="D47" s="9">
        <f t="shared" si="34"/>
        <v>7.2552725051033065</v>
      </c>
      <c r="E47" s="9">
        <f t="shared" si="34"/>
        <v>7.2787536009528289</v>
      </c>
      <c r="F47" s="9">
        <f t="shared" si="34"/>
        <v>6.6989700043360187</v>
      </c>
      <c r="G47" s="9">
        <f t="shared" si="34"/>
        <v>6.8450980400142569</v>
      </c>
      <c r="H47" s="9">
        <f t="shared" si="34"/>
        <v>7.5314789170422554</v>
      </c>
      <c r="I47" s="9">
        <f t="shared" si="34"/>
        <v>7.2787536009528289</v>
      </c>
      <c r="J47" s="9"/>
      <c r="K47" s="9">
        <f t="shared" ref="K47:R47" si="35">LOG10(K21)</f>
        <v>7</v>
      </c>
      <c r="L47" s="9">
        <f t="shared" si="35"/>
        <v>3.0413926851582249</v>
      </c>
      <c r="M47" s="9">
        <f t="shared" si="35"/>
        <v>6.7634279935629369</v>
      </c>
      <c r="N47" s="9">
        <f t="shared" si="35"/>
        <v>5.7853298350107671</v>
      </c>
      <c r="O47" s="9">
        <f t="shared" si="35"/>
        <v>6.2787536009528289</v>
      </c>
      <c r="P47" s="9">
        <f t="shared" si="35"/>
        <v>6.4623979978989565</v>
      </c>
      <c r="Q47" s="9">
        <f t="shared" si="35"/>
        <v>6.9542425094393252</v>
      </c>
      <c r="R47" s="9">
        <f t="shared" si="35"/>
        <v>6.1760912590556813</v>
      </c>
    </row>
    <row r="48" spans="1:18" x14ac:dyDescent="0.45">
      <c r="A48" s="6">
        <v>20</v>
      </c>
      <c r="B48" s="9">
        <f t="shared" ref="B48:I48" si="36">LOG10(B22)</f>
        <v>6.9542425094393252</v>
      </c>
      <c r="C48" s="9">
        <f t="shared" si="36"/>
        <v>7.3222192947339195</v>
      </c>
      <c r="D48" s="9">
        <f t="shared" si="36"/>
        <v>6.9542425094393252</v>
      </c>
      <c r="E48" s="9">
        <f t="shared" si="36"/>
        <v>7.1139433523068369</v>
      </c>
      <c r="F48" s="9">
        <f t="shared" si="36"/>
        <v>6.4149733479708182</v>
      </c>
      <c r="G48" s="9">
        <f t="shared" si="36"/>
        <v>6.7781512503836439</v>
      </c>
      <c r="H48" s="9">
        <f t="shared" si="36"/>
        <v>7.6232492903979008</v>
      </c>
      <c r="I48" s="9">
        <f t="shared" si="36"/>
        <v>7.1760912590556813</v>
      </c>
      <c r="J48" s="9"/>
      <c r="K48" s="9">
        <f t="shared" ref="K48:R48" si="37">LOG10(K22)</f>
        <v>6.6989700043360187</v>
      </c>
      <c r="L48" s="9">
        <f t="shared" si="37"/>
        <v>2.9542425094393248</v>
      </c>
      <c r="M48" s="9">
        <f t="shared" si="37"/>
        <v>6.3010299956639813</v>
      </c>
      <c r="N48" s="9">
        <f t="shared" si="37"/>
        <v>5.6232492903979008</v>
      </c>
      <c r="O48" s="9">
        <f t="shared" si="37"/>
        <v>6.2787536009528289</v>
      </c>
      <c r="P48" s="9">
        <f t="shared" si="37"/>
        <v>6.4149733479708182</v>
      </c>
      <c r="Q48" s="9">
        <f t="shared" si="37"/>
        <v>6.7781512503836439</v>
      </c>
      <c r="R48" s="9">
        <f t="shared" si="37"/>
        <v>6.2304489213782741</v>
      </c>
    </row>
    <row r="49" spans="1:18" x14ac:dyDescent="0.45">
      <c r="A49" s="6">
        <v>21</v>
      </c>
      <c r="B49" s="9">
        <f t="shared" ref="B49:I49" si="38">LOG10(B23)</f>
        <v>7.5440680443502757</v>
      </c>
      <c r="C49" s="9">
        <f t="shared" si="38"/>
        <v>7.5440680443502757</v>
      </c>
      <c r="D49" s="9">
        <f t="shared" si="38"/>
        <v>7.2552725051033065</v>
      </c>
      <c r="E49" s="9">
        <f t="shared" si="38"/>
        <v>6.8450980400142569</v>
      </c>
      <c r="F49" s="9">
        <f t="shared" si="38"/>
        <v>7.4623979978989565</v>
      </c>
      <c r="G49" s="9">
        <f t="shared" si="38"/>
        <v>7.5797835966168101</v>
      </c>
      <c r="H49" s="9">
        <f t="shared" si="38"/>
        <v>7.6720978579357171</v>
      </c>
      <c r="I49" s="9">
        <f t="shared" si="38"/>
        <v>7.0413926851582254</v>
      </c>
      <c r="J49" s="9"/>
      <c r="K49" s="9">
        <f t="shared" ref="K49:R49" si="39">LOG10(K23)</f>
        <v>6.6334684555795862</v>
      </c>
      <c r="L49" s="9">
        <f t="shared" si="39"/>
        <v>2.6989700043360187</v>
      </c>
      <c r="M49" s="9">
        <f t="shared" si="39"/>
        <v>6.6989700043360187</v>
      </c>
      <c r="N49" s="9">
        <f t="shared" si="39"/>
        <v>6.0791812460476251</v>
      </c>
      <c r="O49" s="9">
        <f t="shared" si="39"/>
        <v>6.7403626894942441</v>
      </c>
      <c r="P49" s="9">
        <f t="shared" si="39"/>
        <v>6.8388490907372557</v>
      </c>
      <c r="Q49" s="9">
        <f t="shared" si="39"/>
        <v>6.9294189257142929</v>
      </c>
      <c r="R49" s="9">
        <f t="shared" si="39"/>
        <v>6.3802112417116064</v>
      </c>
    </row>
    <row r="50" spans="1:18" x14ac:dyDescent="0.45">
      <c r="A50" s="6">
        <v>22</v>
      </c>
      <c r="B50" s="9">
        <f t="shared" ref="B50:I50" si="40">LOG10(B24)</f>
        <v>7.5563025007672868</v>
      </c>
      <c r="C50" s="9">
        <f t="shared" si="40"/>
        <v>7.5797835966168101</v>
      </c>
      <c r="D50" s="9">
        <f t="shared" si="40"/>
        <v>7.4313637641589869</v>
      </c>
      <c r="E50" s="9">
        <f t="shared" si="40"/>
        <v>7.2787536009528289</v>
      </c>
      <c r="F50" s="9">
        <f t="shared" si="40"/>
        <v>7.6127838567197355</v>
      </c>
      <c r="G50" s="9">
        <f t="shared" si="40"/>
        <v>7.5563025007672868</v>
      </c>
      <c r="H50" s="9">
        <f t="shared" si="40"/>
        <v>7.2552725051033065</v>
      </c>
      <c r="I50" s="9">
        <f t="shared" si="40"/>
        <v>6.9542425094393252</v>
      </c>
      <c r="J50" s="9"/>
      <c r="K50" s="9">
        <f t="shared" ref="K50:R50" si="41">LOG10(K24)</f>
        <v>7.0413926851582254</v>
      </c>
      <c r="L50" s="9">
        <f t="shared" si="41"/>
        <v>2.6127838567197355</v>
      </c>
      <c r="M50" s="9">
        <f t="shared" si="41"/>
        <v>6.7075701760979367</v>
      </c>
      <c r="N50" s="9">
        <f t="shared" si="41"/>
        <v>6.6127838567197355</v>
      </c>
      <c r="O50" s="9">
        <f t="shared" si="41"/>
        <v>6.6720978579357171</v>
      </c>
      <c r="P50" s="9">
        <f t="shared" si="41"/>
        <v>6.7923916894982534</v>
      </c>
      <c r="Q50" s="9">
        <f t="shared" si="41"/>
        <v>6.9138138523837167</v>
      </c>
      <c r="R50" s="9">
        <f t="shared" si="41"/>
        <v>6.3222192947339195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Golam Mohiuddin</dc:creator>
  <cp:lastModifiedBy>Sayed Golam Mohiuddin</cp:lastModifiedBy>
  <dcterms:created xsi:type="dcterms:W3CDTF">2015-06-05T18:17:20Z</dcterms:created>
  <dcterms:modified xsi:type="dcterms:W3CDTF">2024-11-29T23:06:31Z</dcterms:modified>
</cp:coreProperties>
</file>